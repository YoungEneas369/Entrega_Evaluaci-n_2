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xr:revisionPtr revIDLastSave="0" documentId="8_{6F8594F3-C4B2-4685-9F61-8236E66EE9D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uion de pruebas" sheetId="1" r:id="rId1"/>
    <sheet name="Instrucciones" sheetId="2" r:id="rId2"/>
  </sheets>
  <definedNames>
    <definedName name="_xlnm.Print_Titles" localSheetId="0">'Guion de pruebas'!$10:$10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6" i="1"/>
  <c r="G5" i="1"/>
  <c r="G4" i="1"/>
</calcChain>
</file>

<file path=xl/sharedStrings.xml><?xml version="1.0" encoding="utf-8"?>
<sst xmlns="http://schemas.openxmlformats.org/spreadsheetml/2006/main" count="115" uniqueCount="113">
  <si>
    <t>Guion de pruebas - Agencia de Viajes RutaSur</t>
  </si>
  <si>
    <t>Sección</t>
  </si>
  <si>
    <t>114-2A-F2</t>
  </si>
  <si>
    <t>Resultado</t>
  </si>
  <si>
    <t>Pruebas</t>
  </si>
  <si>
    <t>Equipo</t>
  </si>
  <si>
    <t>Cristopher Figueroa y Elías Reyes</t>
  </si>
  <si>
    <t>Cumple</t>
  </si>
  <si>
    <t>Repositorio</t>
  </si>
  <si>
    <t>Cumple a medias</t>
  </si>
  <si>
    <t>Tipos</t>
  </si>
  <si>
    <t>Paquete nacional / Paquete internacional / Crucero</t>
  </si>
  <si>
    <t>No cumple</t>
  </si>
  <si>
    <t>Indicador</t>
  </si>
  <si>
    <t>Dólar (https://mindicador.cl/api/dolar)</t>
  </si>
  <si>
    <t>Sin revisar</t>
  </si>
  <si>
    <t>Fecha</t>
  </si>
  <si>
    <t>N°</t>
  </si>
  <si>
    <t>Qué se prueba</t>
  </si>
  <si>
    <t>|</t>
  </si>
  <si>
    <t>Dato de prueba</t>
  </si>
  <si>
    <t>Resultado esperado</t>
  </si>
  <si>
    <t>Observaciones</t>
  </si>
  <si>
    <t>P01</t>
  </si>
  <si>
    <t>El programa se ejecuta</t>
  </si>
  <si>
    <t>Descargar el repositorio, instalar lo que pide requirements.txt y ejecutar main.py como indica el README.</t>
  </si>
  <si>
    <t>El programa inicia y muestra el menú.</t>
  </si>
  <si>
    <t>P02</t>
  </si>
  <si>
    <t>Crear: cliente o paquete</t>
  </si>
  <si>
    <t>Crear un registro nuevo con el dato de prueba.</t>
  </si>
  <si>
    <t>Paquete nacional "Puerto Varas 4 días", $450.000</t>
  </si>
  <si>
    <t>El programa confirma que se guardó.</t>
  </si>
  <si>
    <t>P03</t>
  </si>
  <si>
    <t>Listar: cliente o paquete</t>
  </si>
  <si>
    <t>Pedir el listado.</t>
  </si>
  <si>
    <t>Aparece el registro recién creado.</t>
  </si>
  <si>
    <t>P04</t>
  </si>
  <si>
    <t>Modificar: cliente o paquete</t>
  </si>
  <si>
    <t>Modificar el registro: cambiar el precio. Luego listar.</t>
  </si>
  <si>
    <t>El listado muestra el cambio.</t>
  </si>
  <si>
    <t>P05</t>
  </si>
  <si>
    <t>Los datos quedan guardados</t>
  </si>
  <si>
    <t>Cerrar el programa, volver a abrirlo y listar.</t>
  </si>
  <si>
    <t>El registro sigue ahí.</t>
  </si>
  <si>
    <t>P06</t>
  </si>
  <si>
    <t>Eliminar: cliente o paquete</t>
  </si>
  <si>
    <t>Eliminar el registro de prueba y listar.</t>
  </si>
  <si>
    <t>El registro ya no aparece.</t>
  </si>
  <si>
    <t>P07</t>
  </si>
  <si>
    <t>Pasaporte del viajero (paquete internacional): dato correcto</t>
  </si>
  <si>
    <t>Ingresar el dato de prueba.</t>
  </si>
  <si>
    <t>F12345678</t>
  </si>
  <si>
    <t>Lo acepta.</t>
  </si>
  <si>
    <t>P08</t>
  </si>
  <si>
    <t>Pasaporte del viajero (paquete internacional): dato incorrecto (vacío)</t>
  </si>
  <si>
    <t>(vacío)</t>
  </si>
  <si>
    <t>Lo rechaza con un mensaje y el programa sigue funcionando.</t>
  </si>
  <si>
    <t>P09</t>
  </si>
  <si>
    <t>Tipo Paquete nacional</t>
  </si>
  <si>
    <t>Crear un registro de tipo Paquete nacional y probar: calcular el precio final según el tipo de paquete.</t>
  </si>
  <si>
    <t>Precio en pesos, sin tipo de cambio.</t>
  </si>
  <si>
    <t>P10</t>
  </si>
  <si>
    <t>Tipo Paquete internacional</t>
  </si>
  <si>
    <t>Crear un registro de tipo Paquete internacional y probar: calcular el precio final según el tipo de paquete.</t>
  </si>
  <si>
    <t>Precio en dólares convertido con el dólar del día.</t>
  </si>
  <si>
    <t>P11</t>
  </si>
  <si>
    <t>Tipo Crucero</t>
  </si>
  <si>
    <t>Crear un registro de tipo Crucero y probar: calcular el precio final según el tipo de paquete.</t>
  </si>
  <si>
    <t>Precio que depende del tipo de cambio, con su propia fórmula.</t>
  </si>
  <si>
    <t>P12</t>
  </si>
  <si>
    <t>Registrar: reserva</t>
  </si>
  <si>
    <t>Registrar: vuelo, hotel, seguro de viaje y excursión en la misma reserva.</t>
  </si>
  <si>
    <t>Queda guardado como un solo registro de reserva.</t>
  </si>
  <si>
    <t>P13</t>
  </si>
  <si>
    <t>Ver el detalle: reserva</t>
  </si>
  <si>
    <t>Consultar el registro de reserva recién creado.</t>
  </si>
  <si>
    <t>Se ven todas sus líneas de detalle.</t>
  </si>
  <si>
    <t>P14</t>
  </si>
  <si>
    <t>Regla: Confirmar una reserva sin el 50 % de anticipo</t>
  </si>
  <si>
    <t>Crear una reserva y pagar el 30 %. Intentar confirmarla.</t>
  </si>
  <si>
    <t>La confirmación se impide. El programa sigue funcionando.</t>
  </si>
  <si>
    <t>P15</t>
  </si>
  <si>
    <t>Regla: Reservar un paquete sin cupos del proveedor</t>
  </si>
  <si>
    <t>Dejar al proveedor sin cupos para una fecha. Reservar ese paquete en esa fecha.</t>
  </si>
  <si>
    <t>La reserva se impide. El programa sigue funcionando.</t>
  </si>
  <si>
    <t>P16</t>
  </si>
  <si>
    <t>Precio con el dólar del día</t>
  </si>
  <si>
    <t>Con internet, calcular: Precio de los paquetes internacionales en dólares convertido con el dólar del día. Comparar el valor usado con el de la página.</t>
  </si>
  <si>
    <t>https://mindicador.cl/api/dolar</t>
  </si>
  <si>
    <t>El programa usa el valor del dólar de hoy.</t>
  </si>
  <si>
    <t>P17</t>
  </si>
  <si>
    <t>Sin internet</t>
  </si>
  <si>
    <t>Desconectar el wifi y calcular el mismo precio.</t>
  </si>
  <si>
    <t>El programa avisa que no pudo obtener el valor y no se cae.</t>
  </si>
  <si>
    <t>P18</t>
  </si>
  <si>
    <t>Opción de menú que no existe</t>
  </si>
  <si>
    <t>En el menú, ingresar la opción de prueba.</t>
  </si>
  <si>
    <t>99</t>
  </si>
  <si>
    <t>Muestra un mensaje y vuelve al menú.</t>
  </si>
  <si>
    <t>P19</t>
  </si>
  <si>
    <t>Letras donde va un número</t>
  </si>
  <si>
    <t>En el campo de monto del anticipo o cantidad de pasajeros, escribir letras.</t>
  </si>
  <si>
    <t>abc</t>
  </si>
  <si>
    <t>Muestra un mensaje y el programa no se cae.</t>
  </si>
  <si>
    <t>Instrucciones - Agencia de Viajes RutaSur</t>
  </si>
  <si>
    <t>Qué es</t>
  </si>
  <si>
    <t>La lista de pruebas que se le harán al programa del equipo. Cada prueba dice qué hacer, con qué dato y qué debería pasar.</t>
  </si>
  <si>
    <t>Cómo se usa</t>
  </si>
  <si>
    <t>Hacer las pruebas en orden, en la hoja "Guion de pruebas". En la columna Resultado elegir Cumple, Cumple a medias o No cumple, y anotar en Observaciones lo que pasó si no cumple.</t>
  </si>
  <si>
    <t>Antes de empezar</t>
  </si>
  <si>
    <t>Tener el repositorio descargado, las librerías de requirements.txt instaladas e internet disponible. La prueba sin internet se deja para el final.</t>
  </si>
  <si>
    <t>Nombres</t>
  </si>
  <si>
    <t>Los nombres de menús y opciones pueden ser distintos en cada programa. Lo que importa es que el programa haga lo que pide la ficha del negocio.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</si>
</sst>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0" xfId="0" applyFont="1" applyAlignment="1"/>
    <xf numFmtId="0" fontId="0" fillId="0" borderId="0" xfId="0" applyAlignment="1"/>
    <xf numFmtId="0" fontId="2" fillId="2" borderId="1" xfId="0" applyFont="1" applyFill="1" applyBorder="1" applyAlignment="1"/>
    <xf numFmtId="0" fontId="0" fillId="0" borderId="1" xfId="0" applyBorder="1" applyAlignment="1"/>
  </cellXfs>
  <cellStyles count="1">
    <cellStyle name="Normal" xfId="0" builtinId="0"/>
  </cellStyles>
  <dxfs count="3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9"/>
  <sheetViews>
    <sheetView showGridLines="0" tabSelected="1" workbookViewId="0">
      <pane xSplit="2" ySplit="10" topLeftCell="C11" activePane="bottomRight" state="frozen"/>
      <selection pane="bottomRight" activeCell="B11" sqref="B11"/>
      <selection pane="bottomLeft"/>
      <selection pane="topRight"/>
    </sheetView>
  </sheetViews>
  <sheetFormatPr defaultRowHeight="15"/>
  <cols>
    <col min="1" max="1" width="7" customWidth="1"/>
    <col min="2" max="2" width="30" customWidth="1"/>
    <col min="3" max="3" width="46" customWidth="1"/>
    <col min="4" max="4" width="26" customWidth="1"/>
    <col min="5" max="5" width="36" customWidth="1"/>
    <col min="6" max="6" width="16" customWidth="1"/>
    <col min="7" max="7" width="30" customWidth="1"/>
  </cols>
  <sheetData>
    <row r="1" spans="1:7">
      <c r="A1" s="9" t="s">
        <v>0</v>
      </c>
      <c r="B1" s="10"/>
      <c r="C1" s="10"/>
      <c r="D1" s="10"/>
      <c r="E1" s="10"/>
      <c r="F1" s="10"/>
      <c r="G1" s="10"/>
    </row>
    <row r="3" spans="1:7">
      <c r="A3" s="11" t="s">
        <v>1</v>
      </c>
      <c r="B3" s="12"/>
      <c r="C3" s="12" t="s">
        <v>2</v>
      </c>
      <c r="D3" s="12"/>
      <c r="F3" s="3" t="s">
        <v>3</v>
      </c>
      <c r="G3" s="3" t="s">
        <v>4</v>
      </c>
    </row>
    <row r="4" spans="1:7">
      <c r="A4" s="11" t="s">
        <v>5</v>
      </c>
      <c r="B4" s="12"/>
      <c r="C4" s="12" t="s">
        <v>6</v>
      </c>
      <c r="D4" s="12"/>
      <c r="F4" s="2" t="s">
        <v>7</v>
      </c>
      <c r="G4" s="4">
        <f>COUNTIF(F11:F29,"Cumple")</f>
        <v>0</v>
      </c>
    </row>
    <row r="5" spans="1:7">
      <c r="A5" s="11" t="s">
        <v>8</v>
      </c>
      <c r="B5" s="12"/>
      <c r="C5" s="12"/>
      <c r="D5" s="12"/>
      <c r="F5" s="2" t="s">
        <v>9</v>
      </c>
      <c r="G5" s="4">
        <f>COUNTIF(F11:F29,"Cumple a medias")</f>
        <v>0</v>
      </c>
    </row>
    <row r="6" spans="1:7">
      <c r="A6" s="11" t="s">
        <v>10</v>
      </c>
      <c r="B6" s="12"/>
      <c r="C6" s="12" t="s">
        <v>11</v>
      </c>
      <c r="D6" s="12"/>
      <c r="F6" s="2" t="s">
        <v>12</v>
      </c>
      <c r="G6" s="4">
        <f>COUNTIF(F11:F29,"No cumple")</f>
        <v>0</v>
      </c>
    </row>
    <row r="7" spans="1:7">
      <c r="A7" s="11" t="s">
        <v>13</v>
      </c>
      <c r="B7" s="12"/>
      <c r="C7" s="12" t="s">
        <v>14</v>
      </c>
      <c r="D7" s="12"/>
      <c r="F7" s="2" t="s">
        <v>15</v>
      </c>
      <c r="G7" s="4">
        <f>COUNTBLANK(F11:F29)</f>
        <v>19</v>
      </c>
    </row>
    <row r="8" spans="1:7">
      <c r="A8" s="11" t="s">
        <v>16</v>
      </c>
      <c r="B8" s="12"/>
      <c r="C8" s="12"/>
      <c r="D8" s="12"/>
    </row>
    <row r="10" spans="1:7">
      <c r="A10" s="3" t="s">
        <v>17</v>
      </c>
      <c r="B10" s="3" t="s">
        <v>18</v>
      </c>
      <c r="C10" s="3" t="s">
        <v>19</v>
      </c>
      <c r="D10" s="3" t="s">
        <v>20</v>
      </c>
      <c r="E10" s="3" t="s">
        <v>21</v>
      </c>
      <c r="F10" s="3" t="s">
        <v>3</v>
      </c>
      <c r="G10" s="3" t="s">
        <v>22</v>
      </c>
    </row>
    <row r="11" spans="1:7">
      <c r="A11" s="5" t="s">
        <v>23</v>
      </c>
      <c r="B11" s="6" t="s">
        <v>24</v>
      </c>
      <c r="C11" s="7" t="s">
        <v>25</v>
      </c>
      <c r="D11" s="7"/>
      <c r="E11" s="7" t="s">
        <v>26</v>
      </c>
      <c r="F11" s="7"/>
      <c r="G11" s="7"/>
    </row>
    <row r="12" spans="1:7">
      <c r="A12" s="5" t="s">
        <v>27</v>
      </c>
      <c r="B12" s="6" t="s">
        <v>28</v>
      </c>
      <c r="C12" s="7" t="s">
        <v>29</v>
      </c>
      <c r="D12" s="7" t="s">
        <v>30</v>
      </c>
      <c r="E12" s="7" t="s">
        <v>31</v>
      </c>
      <c r="F12" s="7"/>
      <c r="G12" s="7"/>
    </row>
    <row r="13" spans="1:7">
      <c r="A13" s="5" t="s">
        <v>32</v>
      </c>
      <c r="B13" s="6" t="s">
        <v>33</v>
      </c>
      <c r="C13" s="7" t="s">
        <v>34</v>
      </c>
      <c r="D13" s="7"/>
      <c r="E13" s="7" t="s">
        <v>35</v>
      </c>
      <c r="F13" s="7"/>
      <c r="G13" s="7"/>
    </row>
    <row r="14" spans="1:7">
      <c r="A14" s="5" t="s">
        <v>36</v>
      </c>
      <c r="B14" s="6" t="s">
        <v>37</v>
      </c>
      <c r="C14" s="7" t="s">
        <v>38</v>
      </c>
      <c r="D14" s="7"/>
      <c r="E14" s="7" t="s">
        <v>39</v>
      </c>
      <c r="F14" s="7"/>
      <c r="G14" s="7"/>
    </row>
    <row r="15" spans="1:7">
      <c r="A15" s="5" t="s">
        <v>40</v>
      </c>
      <c r="B15" s="6" t="s">
        <v>41</v>
      </c>
      <c r="C15" s="7" t="s">
        <v>42</v>
      </c>
      <c r="D15" s="7"/>
      <c r="E15" s="7" t="s">
        <v>43</v>
      </c>
      <c r="F15" s="7"/>
      <c r="G15" s="7"/>
    </row>
    <row r="16" spans="1:7">
      <c r="A16" s="5" t="s">
        <v>44</v>
      </c>
      <c r="B16" s="6" t="s">
        <v>45</v>
      </c>
      <c r="C16" s="7" t="s">
        <v>46</v>
      </c>
      <c r="D16" s="7"/>
      <c r="E16" s="7" t="s">
        <v>47</v>
      </c>
      <c r="F16" s="7"/>
      <c r="G16" s="7"/>
    </row>
    <row r="17" spans="1:7">
      <c r="A17" s="5" t="s">
        <v>48</v>
      </c>
      <c r="B17" s="6" t="s">
        <v>49</v>
      </c>
      <c r="C17" s="7" t="s">
        <v>50</v>
      </c>
      <c r="D17" s="7" t="s">
        <v>51</v>
      </c>
      <c r="E17" s="7" t="s">
        <v>52</v>
      </c>
      <c r="F17" s="7"/>
      <c r="G17" s="7"/>
    </row>
    <row r="18" spans="1:7">
      <c r="A18" s="5" t="s">
        <v>53</v>
      </c>
      <c r="B18" s="6" t="s">
        <v>54</v>
      </c>
      <c r="C18" s="7" t="s">
        <v>50</v>
      </c>
      <c r="D18" s="7" t="s">
        <v>55</v>
      </c>
      <c r="E18" s="7" t="s">
        <v>56</v>
      </c>
      <c r="F18" s="7"/>
      <c r="G18" s="7"/>
    </row>
    <row r="19" spans="1:7">
      <c r="A19" s="5" t="s">
        <v>57</v>
      </c>
      <c r="B19" s="6" t="s">
        <v>58</v>
      </c>
      <c r="C19" s="7" t="s">
        <v>59</v>
      </c>
      <c r="D19" s="7"/>
      <c r="E19" s="7" t="s">
        <v>60</v>
      </c>
      <c r="F19" s="7"/>
      <c r="G19" s="7"/>
    </row>
    <row r="20" spans="1:7">
      <c r="A20" s="5" t="s">
        <v>61</v>
      </c>
      <c r="B20" s="6" t="s">
        <v>62</v>
      </c>
      <c r="C20" s="7" t="s">
        <v>63</v>
      </c>
      <c r="D20" s="7"/>
      <c r="E20" s="7" t="s">
        <v>64</v>
      </c>
      <c r="F20" s="7"/>
      <c r="G20" s="7"/>
    </row>
    <row r="21" spans="1:7">
      <c r="A21" s="5" t="s">
        <v>65</v>
      </c>
      <c r="B21" s="6" t="s">
        <v>66</v>
      </c>
      <c r="C21" s="7" t="s">
        <v>67</v>
      </c>
      <c r="D21" s="7"/>
      <c r="E21" s="7" t="s">
        <v>68</v>
      </c>
      <c r="F21" s="7"/>
      <c r="G21" s="7"/>
    </row>
    <row r="22" spans="1:7">
      <c r="A22" s="5" t="s">
        <v>69</v>
      </c>
      <c r="B22" s="6" t="s">
        <v>70</v>
      </c>
      <c r="C22" s="7" t="s">
        <v>71</v>
      </c>
      <c r="D22" s="7"/>
      <c r="E22" s="7" t="s">
        <v>72</v>
      </c>
      <c r="F22" s="7"/>
      <c r="G22" s="7"/>
    </row>
    <row r="23" spans="1:7">
      <c r="A23" s="5" t="s">
        <v>73</v>
      </c>
      <c r="B23" s="6" t="s">
        <v>74</v>
      </c>
      <c r="C23" s="7" t="s">
        <v>75</v>
      </c>
      <c r="D23" s="7"/>
      <c r="E23" s="7" t="s">
        <v>76</v>
      </c>
      <c r="F23" s="7"/>
      <c r="G23" s="7"/>
    </row>
    <row r="24" spans="1:7">
      <c r="A24" s="5" t="s">
        <v>77</v>
      </c>
      <c r="B24" s="6" t="s">
        <v>78</v>
      </c>
      <c r="C24" s="7" t="s">
        <v>79</v>
      </c>
      <c r="D24" s="7"/>
      <c r="E24" s="7" t="s">
        <v>80</v>
      </c>
      <c r="F24" s="7"/>
      <c r="G24" s="7"/>
    </row>
    <row r="25" spans="1:7">
      <c r="A25" s="5" t="s">
        <v>81</v>
      </c>
      <c r="B25" s="6" t="s">
        <v>82</v>
      </c>
      <c r="C25" s="7" t="s">
        <v>83</v>
      </c>
      <c r="D25" s="7"/>
      <c r="E25" s="7" t="s">
        <v>84</v>
      </c>
      <c r="F25" s="7"/>
      <c r="G25" s="7"/>
    </row>
    <row r="26" spans="1:7">
      <c r="A26" s="5" t="s">
        <v>85</v>
      </c>
      <c r="B26" s="6" t="s">
        <v>86</v>
      </c>
      <c r="C26" s="7" t="s">
        <v>87</v>
      </c>
      <c r="D26" s="7" t="s">
        <v>88</v>
      </c>
      <c r="E26" s="7" t="s">
        <v>89</v>
      </c>
      <c r="F26" s="7"/>
      <c r="G26" s="7"/>
    </row>
    <row r="27" spans="1:7">
      <c r="A27" s="5" t="s">
        <v>90</v>
      </c>
      <c r="B27" s="6" t="s">
        <v>91</v>
      </c>
      <c r="C27" s="7" t="s">
        <v>92</v>
      </c>
      <c r="D27" s="7"/>
      <c r="E27" s="7" t="s">
        <v>93</v>
      </c>
      <c r="F27" s="7"/>
      <c r="G27" s="7"/>
    </row>
    <row r="28" spans="1:7">
      <c r="A28" s="5" t="s">
        <v>94</v>
      </c>
      <c r="B28" s="6" t="s">
        <v>95</v>
      </c>
      <c r="C28" s="7" t="s">
        <v>96</v>
      </c>
      <c r="D28" s="7" t="s">
        <v>97</v>
      </c>
      <c r="E28" s="7" t="s">
        <v>98</v>
      </c>
      <c r="F28" s="7"/>
      <c r="G28" s="7"/>
    </row>
    <row r="29" spans="1:7">
      <c r="A29" s="5" t="s">
        <v>99</v>
      </c>
      <c r="B29" s="6" t="s">
        <v>100</v>
      </c>
      <c r="C29" s="7" t="s">
        <v>101</v>
      </c>
      <c r="D29" s="7" t="s">
        <v>102</v>
      </c>
      <c r="E29" s="7" t="s">
        <v>103</v>
      </c>
      <c r="F29" s="7"/>
      <c r="G29" s="7"/>
    </row>
  </sheetData>
  <mergeCells count="13">
    <mergeCell ref="A1:G1"/>
    <mergeCell ref="C6:D6"/>
    <mergeCell ref="A7:B7"/>
    <mergeCell ref="C7:D7"/>
    <mergeCell ref="C5:D5"/>
    <mergeCell ref="A5:B5"/>
    <mergeCell ref="A8:B8"/>
    <mergeCell ref="C3:D3"/>
    <mergeCell ref="A3:B3"/>
    <mergeCell ref="A6:B6"/>
    <mergeCell ref="C8:D8"/>
    <mergeCell ref="C4:D4"/>
    <mergeCell ref="A4:B4"/>
  </mergeCells>
  <conditionalFormatting sqref="F11:F29">
    <cfRule type="expression" dxfId="2" priority="1">
      <formula>$F11="Cumple"</formula>
    </cfRule>
    <cfRule type="expression" dxfId="1" priority="2">
      <formula>$F11="Cumple a medias"</formula>
    </cfRule>
    <cfRule type="expression" dxfId="0" priority="3">
      <formula>$F11="No cumple"</formula>
    </cfRule>
  </conditionalFormatting>
  <dataValidations count="1">
    <dataValidation type="list" allowBlank="1" sqref="F11:F29" xr:uid="{00000000-0002-0000-0000-000000000000}">
      <formula1>"Cumple,Cumple a medias,No cumple"</formula1>
    </dataValidation>
  </dataValidation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showGridLines="0" workbookViewId="0"/>
  </sheetViews>
  <sheetFormatPr defaultRowHeight="15"/>
  <cols>
    <col min="1" max="1" width="20" customWidth="1"/>
    <col min="2" max="2" width="95" customWidth="1"/>
  </cols>
  <sheetData>
    <row r="1" spans="1:2">
      <c r="A1" s="1" t="s">
        <v>104</v>
      </c>
    </row>
    <row r="3" spans="1:2">
      <c r="A3" s="8" t="s">
        <v>105</v>
      </c>
      <c r="B3" s="7" t="s">
        <v>106</v>
      </c>
    </row>
    <row r="4" spans="1:2">
      <c r="A4" s="8" t="s">
        <v>107</v>
      </c>
      <c r="B4" s="7" t="s">
        <v>108</v>
      </c>
    </row>
    <row r="5" spans="1:2">
      <c r="A5" s="8" t="s">
        <v>109</v>
      </c>
      <c r="B5" s="7" t="s">
        <v>110</v>
      </c>
    </row>
    <row r="6" spans="1:2">
      <c r="A6" s="8" t="s">
        <v>111</v>
      </c>
      <c r="B6" s="7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2026-09-30T00:30:49Z</dcterms:created>
  <dcterms:modified xsi:type="dcterms:W3CDTF">2026-10-05T05:08:48Z</dcterms:modified>
  <cp:category/>
  <cp:contentStatus/>
</cp:coreProperties>
</file>